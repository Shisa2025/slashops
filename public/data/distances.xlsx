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821035\Downloads\"/>
    </mc:Choice>
  </mc:AlternateContent>
  <xr:revisionPtr revIDLastSave="0" documentId="13_ncr:1_{F5A9DA9A-38F6-41E4-8FB3-47FDFD46AD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3" i="1"/>
  <c r="G29" i="1"/>
  <c r="B21" i="1"/>
  <c r="B31" i="1" s="1"/>
  <c r="B14" i="1"/>
  <c r="B15" i="1"/>
  <c r="E22" i="1" l="1"/>
  <c r="E20" i="1"/>
  <c r="E24" i="1" s="1"/>
  <c r="E23" i="1"/>
  <c r="E21" i="1"/>
  <c r="E25" i="1" s="1"/>
  <c r="B12" i="1"/>
  <c r="B11" i="1" s="1"/>
  <c r="E19" i="1" s="1"/>
  <c r="G19" i="1" s="1"/>
  <c r="E29" i="1" l="1"/>
  <c r="B32" i="1" s="1"/>
</calcChain>
</file>

<file path=xl/sharedStrings.xml><?xml version="1.0" encoding="utf-8"?>
<sst xmlns="http://schemas.openxmlformats.org/spreadsheetml/2006/main" count="64" uniqueCount="61">
  <si>
    <t>PORT</t>
  </si>
  <si>
    <t>IFO</t>
  </si>
  <si>
    <t>MDO</t>
  </si>
  <si>
    <t>WORKING</t>
  </si>
  <si>
    <t>BALLAST</t>
  </si>
  <si>
    <t>IDLE</t>
  </si>
  <si>
    <t>LADEN</t>
  </si>
  <si>
    <t>C/E/V</t>
  </si>
  <si>
    <t>ILHOC</t>
  </si>
  <si>
    <t>bunker da</t>
  </si>
  <si>
    <t>Load Rate</t>
  </si>
  <si>
    <t>Discharge Rate</t>
  </si>
  <si>
    <t>CARGO QTY</t>
  </si>
  <si>
    <t>SHIP NAME:</t>
  </si>
  <si>
    <t>mv cargill tbn</t>
  </si>
  <si>
    <t>FUEL CONSUMPTION</t>
  </si>
  <si>
    <t>STEAMING</t>
  </si>
  <si>
    <t>VESSEL DETAILS</t>
  </si>
  <si>
    <t>CARGO DETAILS</t>
  </si>
  <si>
    <t>DAILY HIRE</t>
  </si>
  <si>
    <t>LOADPORT</t>
  </si>
  <si>
    <t>DISPORT</t>
  </si>
  <si>
    <t>DURATION</t>
  </si>
  <si>
    <t>LADEN LEG (NM)</t>
  </si>
  <si>
    <t>TOTAL DURATION</t>
  </si>
  <si>
    <t>FREIGHT</t>
  </si>
  <si>
    <t>BROKER COMS</t>
  </si>
  <si>
    <t>ADDRESS COMS</t>
  </si>
  <si>
    <t>LOADPORT TT</t>
  </si>
  <si>
    <t>DISPORT TT</t>
  </si>
  <si>
    <t>PORT IDLE</t>
  </si>
  <si>
    <t>BALLAST BONUS</t>
  </si>
  <si>
    <t>HIRE (GROSS)</t>
  </si>
  <si>
    <t>HIRE (NET)</t>
  </si>
  <si>
    <t>REVENUE</t>
  </si>
  <si>
    <t>EXPENSES</t>
  </si>
  <si>
    <t>IFO (at sea)</t>
  </si>
  <si>
    <t>BALLAST LEG (NM)</t>
  </si>
  <si>
    <t>DISTANCES</t>
  </si>
  <si>
    <t>MDO (at sea)</t>
  </si>
  <si>
    <t>PORT DISPURSEMENT ACC</t>
  </si>
  <si>
    <t>MDO (in port)</t>
  </si>
  <si>
    <t>TOTAL IFO</t>
  </si>
  <si>
    <t>TOTAL MDO</t>
  </si>
  <si>
    <t>IFO PRICE</t>
  </si>
  <si>
    <t>MDO PRICE</t>
  </si>
  <si>
    <t>IFO (in port)</t>
  </si>
  <si>
    <t>PROFIT &amp; LOSS</t>
  </si>
  <si>
    <t>AWRP</t>
  </si>
  <si>
    <t>ADCOMS</t>
  </si>
  <si>
    <t>LOADED QTY</t>
  </si>
  <si>
    <t>STOW FACTOR</t>
  </si>
  <si>
    <t xml:space="preserve">DWT </t>
  </si>
  <si>
    <t>GRAIN CAPACITY (CBM)</t>
  </si>
  <si>
    <t>SPEED (KNOTS)</t>
  </si>
  <si>
    <t>STEAMING (DAYS)</t>
  </si>
  <si>
    <t>BUNKER (DAYS)</t>
  </si>
  <si>
    <t>LOADPORT (DAYS)</t>
  </si>
  <si>
    <t>DISPORT (DAYS)</t>
  </si>
  <si>
    <t>BUNKER EXPENSE</t>
  </si>
  <si>
    <t>MISC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</si>
</sst>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,##0.00_ "/>
    <numFmt numFmtId="165" formatCode="&quot;$&quot;#,##0.00"/>
  </numFmts>
  <fonts count="12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6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left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164" fontId="2" fillId="2" borderId="20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164" fontId="2" fillId="2" borderId="21" xfId="0" applyNumberFormat="1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164" fontId="2" fillId="2" borderId="10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3" fontId="0" fillId="0" borderId="0" xfId="0" applyNumberForma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164" fontId="1" fillId="0" borderId="9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64" fontId="1" fillId="2" borderId="7" xfId="0" applyNumberFormat="1" applyFont="1" applyFill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10" fontId="1" fillId="2" borderId="7" xfId="0" applyNumberFormat="1" applyFont="1" applyFill="1" applyBorder="1" applyAlignment="1">
      <alignment horizontal="center"/>
    </xf>
    <xf numFmtId="164" fontId="1" fillId="2" borderId="11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2" borderId="27" xfId="0" applyNumberFormat="1" applyFill="1" applyBorder="1" applyAlignment="1">
      <alignment horizontal="center" vertical="center"/>
    </xf>
    <xf numFmtId="10" fontId="0" fillId="2" borderId="7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4" fillId="0" borderId="25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3" xfId="0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9" fillId="0" borderId="26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44" fontId="0" fillId="0" borderId="3" xfId="1" applyFont="1" applyBorder="1" applyAlignment="1">
      <alignment horizontal="center"/>
    </xf>
    <xf numFmtId="44" fontId="0" fillId="0" borderId="11" xfId="1" applyFont="1" applyBorder="1" applyAlignment="1">
      <alignment horizontal="center"/>
    </xf>
    <xf numFmtId="164" fontId="2" fillId="0" borderId="9" xfId="0" applyNumberFormat="1" applyFont="1" applyFill="1" applyBorder="1" applyAlignment="1">
      <alignment horizontal="center"/>
    </xf>
    <xf numFmtId="164" fontId="2" fillId="0" borderId="10" xfId="0" applyNumberFormat="1" applyFont="1" applyFill="1" applyBorder="1" applyAlignment="1">
      <alignment horizontal="center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4" xfId="0" applyBorder="1" applyAlignment="1">
      <alignment horizontal="left"/>
    </xf>
    <xf numFmtId="3" fontId="0" fillId="2" borderId="4" xfId="0" applyNumberForma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3" fontId="0" fillId="0" borderId="24" xfId="0" applyNumberForma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J9" sqref="J9"/>
    </sheetView>
  </sheetViews>
  <sheetFormatPr defaultRowHeight="15" x14ac:dyDescent="0.25"/>
  <cols>
    <col min="1" max="1" width="16.5703125" bestFit="1" customWidth="1"/>
    <col min="2" max="2" width="13.7109375" bestFit="1" customWidth="1"/>
    <col min="3" max="3" width="16.42578125" customWidth="1"/>
    <col min="4" max="4" width="17.28515625" bestFit="1" customWidth="1"/>
    <col min="5" max="5" width="12.42578125" customWidth="1"/>
    <col min="6" max="6" width="13.5703125" customWidth="1"/>
    <col min="7" max="7" width="13.140625" customWidth="1"/>
    <col min="8" max="8" width="10.7109375" bestFit="1" customWidth="1"/>
    <col min="12" max="12" width="8.42578125" bestFit="1" customWidth="1"/>
    <col min="13" max="14" width="9.85546875" bestFit="1" customWidth="1"/>
    <col min="15" max="15" width="4.7109375" bestFit="1" customWidth="1"/>
  </cols>
  <sheetData>
    <row r="1" spans="1:7" ht="19.5" thickBot="1" x14ac:dyDescent="0.3">
      <c r="A1" s="92" t="s">
        <v>17</v>
      </c>
      <c r="B1" s="93"/>
      <c r="C1" s="93"/>
      <c r="D1" s="93"/>
      <c r="E1" s="93"/>
      <c r="F1" s="93"/>
      <c r="G1" s="94"/>
    </row>
    <row r="2" spans="1:7" ht="15.75" thickBot="1" x14ac:dyDescent="0.3">
      <c r="A2" s="78" t="s">
        <v>13</v>
      </c>
      <c r="B2" s="24" t="s">
        <v>14</v>
      </c>
      <c r="C2" s="25"/>
      <c r="D2" s="25"/>
      <c r="E2" s="25"/>
      <c r="F2" s="25"/>
      <c r="G2" s="26"/>
    </row>
    <row r="3" spans="1:7" ht="15.75" thickBot="1" x14ac:dyDescent="0.3">
      <c r="A3" s="79" t="s">
        <v>52</v>
      </c>
      <c r="B3" s="91">
        <v>62000</v>
      </c>
      <c r="C3" s="51" t="s">
        <v>53</v>
      </c>
      <c r="D3" s="51"/>
      <c r="E3" s="91">
        <v>70000</v>
      </c>
      <c r="F3" s="28"/>
      <c r="G3" s="95"/>
    </row>
    <row r="4" spans="1:7" ht="16.5" thickBot="1" x14ac:dyDescent="0.3">
      <c r="A4" s="8" t="s">
        <v>16</v>
      </c>
      <c r="B4" s="74" t="s">
        <v>54</v>
      </c>
      <c r="C4" s="4" t="s">
        <v>15</v>
      </c>
      <c r="D4" s="5"/>
      <c r="E4" s="13" t="s">
        <v>0</v>
      </c>
      <c r="F4" s="13" t="s">
        <v>1</v>
      </c>
      <c r="G4" s="14" t="s">
        <v>2</v>
      </c>
    </row>
    <row r="5" spans="1:7" ht="15.75" x14ac:dyDescent="0.25">
      <c r="A5" s="9"/>
      <c r="B5" s="75"/>
      <c r="C5" s="6" t="s">
        <v>1</v>
      </c>
      <c r="D5" s="3" t="s">
        <v>2</v>
      </c>
      <c r="E5" s="15" t="s">
        <v>3</v>
      </c>
      <c r="F5" s="23">
        <v>5.5</v>
      </c>
      <c r="G5" s="19">
        <v>0.1</v>
      </c>
    </row>
    <row r="6" spans="1:7" ht="15.75" x14ac:dyDescent="0.25">
      <c r="A6" s="7" t="s">
        <v>4</v>
      </c>
      <c r="B6" s="17">
        <v>14</v>
      </c>
      <c r="C6" s="18">
        <v>23</v>
      </c>
      <c r="D6" s="19">
        <v>0.1</v>
      </c>
      <c r="E6" s="15" t="s">
        <v>5</v>
      </c>
      <c r="F6" s="23">
        <v>5.5</v>
      </c>
      <c r="G6" s="19">
        <v>0.1</v>
      </c>
    </row>
    <row r="7" spans="1:7" ht="16.5" thickBot="1" x14ac:dyDescent="0.3">
      <c r="A7" s="77" t="s">
        <v>6</v>
      </c>
      <c r="B7" s="20">
        <v>12</v>
      </c>
      <c r="C7" s="21">
        <v>18.5</v>
      </c>
      <c r="D7" s="22">
        <v>0.1</v>
      </c>
      <c r="E7" s="16"/>
      <c r="F7" s="72"/>
      <c r="G7" s="73"/>
    </row>
    <row r="8" spans="1:7" ht="16.5" thickBot="1" x14ac:dyDescent="0.3">
      <c r="A8" s="52"/>
      <c r="B8" s="10"/>
      <c r="C8" s="10"/>
      <c r="D8" s="10"/>
      <c r="E8" s="10"/>
      <c r="F8" s="10"/>
      <c r="G8" s="29"/>
    </row>
    <row r="9" spans="1:7" ht="15.75" x14ac:dyDescent="0.25">
      <c r="A9" s="76" t="s">
        <v>19</v>
      </c>
      <c r="B9" s="46">
        <v>12000</v>
      </c>
      <c r="C9" s="40"/>
      <c r="D9" s="40"/>
      <c r="E9" s="40"/>
      <c r="F9" s="40"/>
      <c r="G9" s="53"/>
    </row>
    <row r="10" spans="1:7" ht="16.5" thickBot="1" x14ac:dyDescent="0.3">
      <c r="A10" s="87" t="s">
        <v>49</v>
      </c>
      <c r="B10" s="47">
        <v>3.7499999999999999E-2</v>
      </c>
      <c r="C10" s="40"/>
      <c r="D10" s="40"/>
      <c r="E10" s="40"/>
      <c r="F10" s="40"/>
      <c r="G10" s="53"/>
    </row>
    <row r="11" spans="1:7" x14ac:dyDescent="0.25">
      <c r="A11" s="88" t="s">
        <v>24</v>
      </c>
      <c r="B11" s="48">
        <f>SUM(B12:B15)</f>
        <v>34.907738095238095</v>
      </c>
      <c r="C11" s="40"/>
      <c r="D11" s="80" t="s">
        <v>38</v>
      </c>
      <c r="E11" s="81"/>
      <c r="F11" s="81"/>
      <c r="G11" s="82"/>
    </row>
    <row r="12" spans="1:7" x14ac:dyDescent="0.25">
      <c r="A12" s="88" t="s">
        <v>55</v>
      </c>
      <c r="B12" s="48">
        <f>G12+G13</f>
        <v>19.345238095238095</v>
      </c>
      <c r="C12" s="40"/>
      <c r="D12" s="88" t="s">
        <v>37</v>
      </c>
      <c r="E12" s="54">
        <v>3000</v>
      </c>
      <c r="F12" s="55" t="s">
        <v>22</v>
      </c>
      <c r="G12" s="43">
        <f>E12/(B6*24)</f>
        <v>8.9285714285714288</v>
      </c>
    </row>
    <row r="13" spans="1:7" ht="15.75" thickBot="1" x14ac:dyDescent="0.3">
      <c r="A13" s="88" t="s">
        <v>56</v>
      </c>
      <c r="B13" s="49">
        <v>1</v>
      </c>
      <c r="C13" s="40"/>
      <c r="D13" s="89" t="s">
        <v>23</v>
      </c>
      <c r="E13" s="56">
        <v>3000</v>
      </c>
      <c r="F13" s="57" t="s">
        <v>22</v>
      </c>
      <c r="G13" s="45">
        <f>E13/(B7*24)</f>
        <v>10.416666666666666</v>
      </c>
    </row>
    <row r="14" spans="1:7" x14ac:dyDescent="0.25">
      <c r="A14" s="88" t="s">
        <v>57</v>
      </c>
      <c r="B14" s="48">
        <f>B19/B25+B27+B29</f>
        <v>8.5625</v>
      </c>
      <c r="C14" s="40"/>
      <c r="D14" s="40"/>
      <c r="E14" s="40"/>
      <c r="F14" s="40"/>
      <c r="G14" s="53"/>
    </row>
    <row r="15" spans="1:7" ht="15.75" thickBot="1" x14ac:dyDescent="0.3">
      <c r="A15" s="89" t="s">
        <v>58</v>
      </c>
      <c r="B15" s="50">
        <f>B19/B26+B28</f>
        <v>6</v>
      </c>
      <c r="C15" s="40"/>
      <c r="D15" s="40"/>
      <c r="E15" s="40"/>
      <c r="F15" s="40"/>
      <c r="G15" s="53"/>
    </row>
    <row r="16" spans="1:7" ht="15.75" thickBot="1" x14ac:dyDescent="0.3">
      <c r="A16" s="58"/>
      <c r="B16" s="40"/>
      <c r="C16" s="40"/>
      <c r="D16" s="40"/>
      <c r="E16" s="40"/>
      <c r="F16" s="40"/>
      <c r="G16" s="53"/>
    </row>
    <row r="17" spans="1:9" ht="15" customHeight="1" x14ac:dyDescent="0.5">
      <c r="A17" s="83" t="s">
        <v>18</v>
      </c>
      <c r="B17" s="84"/>
      <c r="C17" s="34"/>
      <c r="D17" s="59" t="s">
        <v>35</v>
      </c>
      <c r="E17" s="60"/>
      <c r="F17" s="60"/>
      <c r="G17" s="61"/>
    </row>
    <row r="18" spans="1:9" ht="15.75" customHeight="1" thickBot="1" x14ac:dyDescent="0.55000000000000004">
      <c r="A18" s="85"/>
      <c r="B18" s="86"/>
      <c r="C18" s="34"/>
      <c r="D18" s="62"/>
      <c r="E18" s="63"/>
      <c r="F18" s="63"/>
      <c r="G18" s="64"/>
      <c r="I18" s="12"/>
    </row>
    <row r="19" spans="1:9" ht="15.75" x14ac:dyDescent="0.25">
      <c r="A19" s="30" t="s">
        <v>12</v>
      </c>
      <c r="B19" s="39">
        <v>60500</v>
      </c>
      <c r="C19" s="40"/>
      <c r="D19" s="90" t="s">
        <v>32</v>
      </c>
      <c r="E19" s="70">
        <f>B9*B11+B30</f>
        <v>418892.85714285716</v>
      </c>
      <c r="F19" s="65" t="s">
        <v>33</v>
      </c>
      <c r="G19" s="71">
        <f>E19*(1-B10)</f>
        <v>403184.375</v>
      </c>
    </row>
    <row r="20" spans="1:9" ht="16.5" thickBot="1" x14ac:dyDescent="0.3">
      <c r="A20" s="88" t="s">
        <v>51</v>
      </c>
      <c r="B20" s="44">
        <v>1.33</v>
      </c>
      <c r="C20" s="40"/>
      <c r="D20" s="31" t="s">
        <v>36</v>
      </c>
      <c r="E20" s="1">
        <f>G12*C6+G13*C7</f>
        <v>398.06547619047615</v>
      </c>
      <c r="F20" s="2" t="s">
        <v>48</v>
      </c>
      <c r="G20" s="35"/>
    </row>
    <row r="21" spans="1:9" ht="16.5" thickBot="1" x14ac:dyDescent="0.3">
      <c r="A21" s="88" t="s">
        <v>50</v>
      </c>
      <c r="B21" s="43">
        <f>E3/B20</f>
        <v>52631.57894736842</v>
      </c>
      <c r="C21" s="40"/>
      <c r="D21" s="31" t="s">
        <v>39</v>
      </c>
      <c r="E21" s="1">
        <f>G12*D6+G13*D7</f>
        <v>1.9345238095238098</v>
      </c>
      <c r="F21" s="2" t="s">
        <v>7</v>
      </c>
      <c r="G21" s="46">
        <v>1500</v>
      </c>
    </row>
    <row r="22" spans="1:9" ht="16.5" thickBot="1" x14ac:dyDescent="0.3">
      <c r="A22" s="31" t="s">
        <v>25</v>
      </c>
      <c r="B22" s="35">
        <v>22</v>
      </c>
      <c r="C22" s="40"/>
      <c r="D22" s="31" t="s">
        <v>46</v>
      </c>
      <c r="E22" s="1">
        <f>B14*F5+B15*F5+B29*F6</f>
        <v>82.84375</v>
      </c>
      <c r="F22" s="2" t="s">
        <v>8</v>
      </c>
      <c r="G22" s="46">
        <v>5000</v>
      </c>
    </row>
    <row r="23" spans="1:9" ht="15.75" x14ac:dyDescent="0.25">
      <c r="A23" s="31" t="s">
        <v>27</v>
      </c>
      <c r="B23" s="38">
        <v>3.7499999999999999E-2</v>
      </c>
      <c r="C23" s="40"/>
      <c r="D23" s="31" t="s">
        <v>41</v>
      </c>
      <c r="E23" s="1">
        <f>B14*G5+B15*G6+B29*G6</f>
        <v>1.5062500000000003</v>
      </c>
      <c r="F23" s="2" t="s">
        <v>9</v>
      </c>
      <c r="G23" s="46">
        <v>1500</v>
      </c>
    </row>
    <row r="24" spans="1:9" ht="15.75" x14ac:dyDescent="0.25">
      <c r="A24" s="31" t="s">
        <v>26</v>
      </c>
      <c r="B24" s="38">
        <v>1.2500000000000001E-2</v>
      </c>
      <c r="C24" s="40"/>
      <c r="D24" s="31" t="s">
        <v>42</v>
      </c>
      <c r="E24" s="1">
        <f>E20+E22</f>
        <v>480.90922619047615</v>
      </c>
      <c r="F24" s="2"/>
      <c r="G24" s="36"/>
    </row>
    <row r="25" spans="1:9" ht="16.5" thickBot="1" x14ac:dyDescent="0.3">
      <c r="A25" s="31" t="s">
        <v>10</v>
      </c>
      <c r="B25" s="35">
        <v>8000</v>
      </c>
      <c r="C25" s="40"/>
      <c r="D25" s="31" t="s">
        <v>43</v>
      </c>
      <c r="E25" s="1">
        <f>E21+E23</f>
        <v>3.4407738095238098</v>
      </c>
      <c r="F25" s="41" t="s">
        <v>40</v>
      </c>
      <c r="G25" s="42"/>
    </row>
    <row r="26" spans="1:9" ht="16.5" thickBot="1" x14ac:dyDescent="0.3">
      <c r="A26" s="31" t="s">
        <v>11</v>
      </c>
      <c r="B26" s="35">
        <v>11000</v>
      </c>
      <c r="C26" s="40"/>
      <c r="D26" s="31" t="s">
        <v>44</v>
      </c>
      <c r="E26" s="46">
        <v>440</v>
      </c>
      <c r="F26" s="2" t="s">
        <v>20</v>
      </c>
      <c r="G26" s="46">
        <v>20000</v>
      </c>
    </row>
    <row r="27" spans="1:9" ht="15.75" x14ac:dyDescent="0.25">
      <c r="A27" s="31" t="s">
        <v>28</v>
      </c>
      <c r="B27" s="35">
        <v>0.5</v>
      </c>
      <c r="C27" s="40"/>
      <c r="D27" s="31" t="s">
        <v>45</v>
      </c>
      <c r="E27" s="46">
        <v>850</v>
      </c>
      <c r="F27" s="2" t="s">
        <v>21</v>
      </c>
      <c r="G27" s="46">
        <v>20000</v>
      </c>
    </row>
    <row r="28" spans="1:9" ht="15.75" x14ac:dyDescent="0.25">
      <c r="A28" s="31" t="s">
        <v>29</v>
      </c>
      <c r="B28" s="35">
        <v>0.5</v>
      </c>
      <c r="C28" s="40"/>
      <c r="D28" s="31"/>
      <c r="E28" s="27"/>
      <c r="F28" s="66"/>
      <c r="G28" s="36"/>
    </row>
    <row r="29" spans="1:9" ht="16.5" thickBot="1" x14ac:dyDescent="0.3">
      <c r="A29" s="31" t="s">
        <v>30</v>
      </c>
      <c r="B29" s="35">
        <v>0.5</v>
      </c>
      <c r="C29" s="40"/>
      <c r="D29" s="32" t="s">
        <v>59</v>
      </c>
      <c r="E29" s="33">
        <f>E24*E26+E25*E27+((B13/B11)*G19)+((B13*F6*E26)+(B13*G6*E27))+G23</f>
        <v>230079.71726190473</v>
      </c>
      <c r="F29" s="67" t="s">
        <v>60</v>
      </c>
      <c r="G29" s="37">
        <f>SUM(G20:G28)</f>
        <v>48000</v>
      </c>
    </row>
    <row r="30" spans="1:9" ht="15.75" x14ac:dyDescent="0.25">
      <c r="A30" s="31" t="s">
        <v>31</v>
      </c>
      <c r="B30" s="35"/>
      <c r="C30" s="40"/>
      <c r="D30" s="40"/>
      <c r="E30" s="40"/>
      <c r="F30" s="40"/>
      <c r="G30" s="53"/>
    </row>
    <row r="31" spans="1:9" ht="15.75" x14ac:dyDescent="0.25">
      <c r="A31" s="31" t="s">
        <v>34</v>
      </c>
      <c r="B31" s="36">
        <f>B21*B22*(1-B23-B24)</f>
        <v>1100000</v>
      </c>
      <c r="C31" s="40"/>
      <c r="D31" s="40"/>
      <c r="E31" s="40"/>
      <c r="F31" s="40"/>
      <c r="G31" s="53"/>
    </row>
    <row r="32" spans="1:9" ht="16.5" thickBot="1" x14ac:dyDescent="0.3">
      <c r="A32" s="32" t="s">
        <v>47</v>
      </c>
      <c r="B32" s="37">
        <f>B31-E29-G29-G19</f>
        <v>418735.90773809527</v>
      </c>
      <c r="C32" s="68"/>
      <c r="D32" s="68"/>
      <c r="E32" s="68"/>
      <c r="F32" s="68"/>
      <c r="G32" s="69"/>
    </row>
    <row r="33" spans="4:7" x14ac:dyDescent="0.25">
      <c r="D33" s="11"/>
      <c r="E33" s="11"/>
      <c r="F33" s="11"/>
      <c r="G33" s="11"/>
    </row>
  </sheetData>
  <mergeCells count="10">
    <mergeCell ref="F25:G25"/>
    <mergeCell ref="B4:B5"/>
    <mergeCell ref="B2:G2"/>
    <mergeCell ref="A1:G1"/>
    <mergeCell ref="D11:G11"/>
    <mergeCell ref="D17:G18"/>
    <mergeCell ref="C3:D3"/>
    <mergeCell ref="A17:B18"/>
    <mergeCell ref="C4:D4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Jaycee Pan</dc:creator>
  <cp:lastModifiedBy>Elias Heng</cp:lastModifiedBy>
  <dcterms:created xsi:type="dcterms:W3CDTF">2015-06-05T18:17:20Z</dcterms:created>
  <dcterms:modified xsi:type="dcterms:W3CDTF">2026-01-21T14:09:30Z</dcterms:modified>
</cp:coreProperties>
</file>